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H:\DOCUMENTOS DIEGO\Diego\Facultades\00 - Apuntes PARA TEORIA DIEGO\02 - Raices\"/>
    </mc:Choice>
  </mc:AlternateContent>
  <bookViews>
    <workbookView xWindow="0" yWindow="0" windowWidth="28800" windowHeight="124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3" i="1" l="1"/>
  <c r="J11" i="1"/>
  <c r="D13" i="1"/>
  <c r="C13" i="1"/>
  <c r="I13" i="1" s="1"/>
  <c r="C8" i="1"/>
  <c r="D8" i="1" s="1"/>
  <c r="C7" i="1"/>
  <c r="D7" i="1" s="1"/>
  <c r="G13" i="1" l="1"/>
  <c r="B10" i="1"/>
  <c r="E13" i="1"/>
  <c r="F13" i="1"/>
  <c r="H13" i="1" l="1"/>
  <c r="D14" i="1" l="1"/>
  <c r="C14" i="1"/>
  <c r="G14" i="1" s="1"/>
  <c r="E14" i="1" l="1"/>
  <c r="F14" i="1" s="1"/>
  <c r="H14" i="1" s="1"/>
  <c r="I14" i="1"/>
  <c r="J14" i="1" s="1"/>
  <c r="C15" i="1" l="1"/>
  <c r="G15" i="1" s="1"/>
  <c r="D15" i="1"/>
  <c r="E15" i="1" l="1"/>
  <c r="F15" i="1" s="1"/>
  <c r="H15" i="1" s="1"/>
  <c r="I15" i="1"/>
  <c r="J15" i="1" s="1"/>
  <c r="C16" i="1" l="1"/>
  <c r="G16" i="1" s="1"/>
  <c r="D16" i="1"/>
  <c r="E16" i="1" l="1"/>
  <c r="F16" i="1" s="1"/>
  <c r="I16" i="1"/>
  <c r="J16" i="1" s="1"/>
  <c r="H16" i="1"/>
  <c r="C17" i="1" l="1"/>
  <c r="G17" i="1" s="1"/>
  <c r="D17" i="1"/>
  <c r="E17" i="1" l="1"/>
  <c r="F17" i="1" s="1"/>
  <c r="H17" i="1" s="1"/>
  <c r="I17" i="1"/>
  <c r="J17" i="1" s="1"/>
  <c r="C18" i="1" l="1"/>
  <c r="G18" i="1" s="1"/>
  <c r="D18" i="1"/>
  <c r="I18" i="1" s="1"/>
  <c r="J18" i="1" s="1"/>
  <c r="E18" i="1"/>
  <c r="F18" i="1" s="1"/>
  <c r="H18" i="1" s="1"/>
  <c r="D19" i="1" s="1"/>
  <c r="C19" i="1" l="1"/>
  <c r="G19" i="1" s="1"/>
  <c r="E19" i="1" l="1"/>
  <c r="F19" i="1" s="1"/>
  <c r="H19" i="1" s="1"/>
  <c r="I19" i="1"/>
  <c r="J19" i="1" s="1"/>
  <c r="C20" i="1"/>
  <c r="G20" i="1" s="1"/>
  <c r="D20" i="1"/>
  <c r="E20" i="1" l="1"/>
  <c r="I20" i="1"/>
  <c r="J20" i="1" s="1"/>
  <c r="F20" i="1"/>
  <c r="H20" i="1" s="1"/>
  <c r="C21" i="1" l="1"/>
  <c r="D21" i="1"/>
  <c r="I21" i="1" s="1"/>
  <c r="J21" i="1" s="1"/>
  <c r="G21" i="1"/>
  <c r="E21" i="1" l="1"/>
  <c r="F21" i="1" s="1"/>
  <c r="H21" i="1"/>
  <c r="C22" i="1" l="1"/>
  <c r="G22" i="1" s="1"/>
  <c r="D22" i="1"/>
  <c r="E22" i="1" s="1"/>
  <c r="F22" i="1" s="1"/>
  <c r="H22" i="1" s="1"/>
  <c r="I22" i="1" l="1"/>
  <c r="J22" i="1" s="1"/>
  <c r="C23" i="1"/>
  <c r="G23" i="1" s="1"/>
  <c r="D23" i="1"/>
  <c r="I23" i="1" s="1"/>
  <c r="J23" i="1" s="1"/>
  <c r="E23" i="1" l="1"/>
  <c r="F23" i="1" s="1"/>
  <c r="H23" i="1"/>
  <c r="C24" i="1" l="1"/>
  <c r="G24" i="1" s="1"/>
  <c r="D24" i="1"/>
  <c r="E24" i="1" s="1"/>
  <c r="I24" i="1" l="1"/>
  <c r="J24" i="1" s="1"/>
  <c r="F24" i="1"/>
  <c r="H24" i="1" s="1"/>
  <c r="C25" i="1"/>
</calcChain>
</file>

<file path=xl/comments1.xml><?xml version="1.0" encoding="utf-8"?>
<comments xmlns="http://schemas.openxmlformats.org/spreadsheetml/2006/main">
  <authors>
    <author>All Devices</author>
  </authors>
  <commentList>
    <comment ref="C14" authorId="0" shapeId="0">
      <text>
        <r>
          <rPr>
            <b/>
            <sz val="9"/>
            <color indexed="81"/>
            <rFont val="Tahoma"/>
            <family val="2"/>
          </rPr>
          <t>All Devices:</t>
        </r>
        <r>
          <rPr>
            <sz val="9"/>
            <color indexed="81"/>
            <rFont val="Tahoma"/>
            <family val="2"/>
          </rPr>
          <t xml:space="preserve">
Se usa la función SI para ver cual de los extermos del Intervalo corremos, lo mismo en la celda de "b"</t>
        </r>
      </text>
    </comment>
  </commentList>
</comments>
</file>

<file path=xl/sharedStrings.xml><?xml version="1.0" encoding="utf-8"?>
<sst xmlns="http://schemas.openxmlformats.org/spreadsheetml/2006/main" count="22" uniqueCount="22">
  <si>
    <t>Método de Bisección</t>
  </si>
  <si>
    <t>Pto Inicio (a)</t>
  </si>
  <si>
    <t>Pto Fin (b)</t>
  </si>
  <si>
    <t>f(x) = e^x - 3x</t>
  </si>
  <si>
    <t>f(-5) =</t>
  </si>
  <si>
    <t>f(-3) =</t>
  </si>
  <si>
    <t>a</t>
  </si>
  <si>
    <t>b</t>
  </si>
  <si>
    <t>Raiz =</t>
  </si>
  <si>
    <t>Prof. Amiconi Diego</t>
  </si>
  <si>
    <t>Verificación con la función SI</t>
  </si>
  <si>
    <t>f(a)</t>
  </si>
  <si>
    <t>f(a)*f(mk)</t>
  </si>
  <si>
    <t>Condición de Bolzano</t>
  </si>
  <si>
    <t>Función</t>
  </si>
  <si>
    <t>Criterio de Paro</t>
  </si>
  <si>
    <t>Ingrese la Tolerancia e=</t>
  </si>
  <si>
    <t>Usar $ en criterio de paro para fijar referencia a la tolerancia</t>
  </si>
  <si>
    <t>f(mk)</t>
  </si>
  <si>
    <t>mk =(a+b)/2</t>
  </si>
  <si>
    <t>Error = abs(b-a)/2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</si>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</sst>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2" borderId="3" xfId="0" applyFont="1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8" xfId="0" applyBorder="1"/>
    <xf numFmtId="0" fontId="2" fillId="0" borderId="9" xfId="0" applyFont="1" applyBorder="1"/>
    <xf numFmtId="164" fontId="2" fillId="0" borderId="9" xfId="0" applyNumberFormat="1" applyFont="1" applyBorder="1"/>
    <xf numFmtId="0" fontId="2" fillId="0" borderId="10" xfId="0" applyFont="1" applyBorder="1"/>
    <xf numFmtId="0" fontId="2" fillId="0" borderId="11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2" fillId="2" borderId="1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0" borderId="8" xfId="0" applyNumberFormat="1" applyFont="1" applyBorder="1" applyAlignment="1"/>
    <xf numFmtId="0" fontId="2" fillId="0" borderId="8" xfId="0" applyFont="1" applyBorder="1"/>
    <xf numFmtId="0" fontId="2" fillId="0" borderId="17" xfId="0" applyFont="1" applyBorder="1"/>
    <xf numFmtId="164" fontId="2" fillId="0" borderId="5" xfId="0" applyNumberFormat="1" applyFont="1" applyBorder="1" applyAlignment="1"/>
    <xf numFmtId="0" fontId="2" fillId="0" borderId="5" xfId="0" applyFont="1" applyBorder="1"/>
    <xf numFmtId="0" fontId="2" fillId="3" borderId="19" xfId="0" applyFont="1" applyFill="1" applyBorder="1"/>
    <xf numFmtId="0" fontId="0" fillId="0" borderId="26" xfId="0" applyBorder="1"/>
    <xf numFmtId="0" fontId="0" fillId="0" borderId="0" xfId="0" applyBorder="1"/>
    <xf numFmtId="0" fontId="0" fillId="0" borderId="28" xfId="0" applyBorder="1"/>
    <xf numFmtId="0" fontId="2" fillId="0" borderId="29" xfId="0" applyFont="1" applyBorder="1"/>
    <xf numFmtId="0" fontId="2" fillId="0" borderId="12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0" fillId="0" borderId="11" xfId="0" applyBorder="1"/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6" borderId="30" xfId="0" applyFill="1" applyBorder="1" applyAlignment="1">
      <alignment horizontal="center" wrapText="1"/>
    </xf>
    <xf numFmtId="0" fontId="0" fillId="6" borderId="32" xfId="0" applyFill="1" applyBorder="1" applyAlignment="1">
      <alignment horizontal="center" wrapText="1"/>
    </xf>
    <xf numFmtId="0" fontId="0" fillId="6" borderId="33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1" fillId="5" borderId="21" xfId="0" applyFont="1" applyFill="1" applyBorder="1" applyAlignment="1">
      <alignment horizontal="center"/>
    </xf>
    <xf numFmtId="0" fontId="1" fillId="5" borderId="22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5" borderId="23" xfId="0" applyFont="1" applyFill="1" applyBorder="1" applyAlignment="1">
      <alignment horizontal="center"/>
    </xf>
    <xf numFmtId="0" fontId="1" fillId="5" borderId="24" xfId="0" applyFont="1" applyFill="1" applyBorder="1" applyAlignment="1">
      <alignment horizontal="center"/>
    </xf>
    <xf numFmtId="0" fontId="1" fillId="5" borderId="27" xfId="0" applyFont="1" applyFill="1" applyBorder="1" applyAlignment="1">
      <alignment horizontal="center"/>
    </xf>
    <xf numFmtId="0" fontId="1" fillId="4" borderId="28" xfId="0" applyFont="1" applyFill="1" applyBorder="1" applyAlignment="1">
      <alignment horizontal="center"/>
    </xf>
    <xf numFmtId="0" fontId="1" fillId="4" borderId="31" xfId="0" applyFont="1" applyFill="1" applyBorder="1" applyAlignment="1">
      <alignment horizontal="center"/>
    </xf>
  </cellXfs>
  <cellStyles count="1">
    <cellStyle name="Normal" xfId="0" builtinId="0"/>
  </cellStyles>
  <dxfs count="3">
    <dxf>
      <font>
        <b/>
        <i val="0"/>
        <condense val="0"/>
        <extend val="0"/>
        <color indexed="5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2:N25"/>
  <sheetViews>
    <sheetView tabSelected="1" workbookViewId="0">
      <selection activeCell="E33" sqref="E33"/>
    </sheetView>
  </sheetViews>
  <sheetFormatPr baseColWidth="10" defaultRowHeight="15" x14ac:dyDescent="0.25"/>
  <cols>
    <col min="2" max="2" width="6.7109375" bestFit="1" customWidth="1"/>
    <col min="3" max="3" width="21.28515625" customWidth="1"/>
    <col min="4" max="4" width="15.5703125" bestFit="1" customWidth="1"/>
    <col min="5" max="5" width="11.5703125" bestFit="1" customWidth="1"/>
    <col min="9" max="9" width="16.5703125" bestFit="1" customWidth="1"/>
    <col min="10" max="10" width="15.7109375" bestFit="1" customWidth="1"/>
    <col min="11" max="11" width="28.5703125" customWidth="1"/>
  </cols>
  <sheetData>
    <row r="2" spans="2:14" ht="15.75" thickBot="1" x14ac:dyDescent="0.3"/>
    <row r="3" spans="2:14" ht="15.75" thickBot="1" x14ac:dyDescent="0.3">
      <c r="B3" s="37" t="s">
        <v>0</v>
      </c>
      <c r="C3" s="38"/>
      <c r="D3" s="42" t="s">
        <v>9</v>
      </c>
      <c r="E3" s="43"/>
      <c r="F3" s="43"/>
      <c r="G3" s="43"/>
      <c r="H3" s="43"/>
      <c r="I3" s="43"/>
      <c r="J3" s="44"/>
    </row>
    <row r="4" spans="2:14" ht="15.75" thickBot="1" x14ac:dyDescent="0.3">
      <c r="B4" s="48" t="s">
        <v>14</v>
      </c>
      <c r="C4" s="50"/>
      <c r="D4" s="1" t="s">
        <v>1</v>
      </c>
      <c r="E4" s="1" t="s">
        <v>2</v>
      </c>
      <c r="F4" s="2"/>
      <c r="G4" s="3"/>
      <c r="H4" s="26"/>
      <c r="I4" s="26"/>
      <c r="J4" s="4"/>
    </row>
    <row r="5" spans="2:14" ht="15.75" thickBot="1" x14ac:dyDescent="0.3">
      <c r="B5" s="39" t="s">
        <v>3</v>
      </c>
      <c r="C5" s="40"/>
      <c r="D5" s="5">
        <v>-2</v>
      </c>
      <c r="E5" s="6">
        <v>1</v>
      </c>
      <c r="F5" s="2"/>
      <c r="G5" s="3"/>
      <c r="H5" s="26"/>
      <c r="I5" s="26"/>
      <c r="J5" s="4"/>
    </row>
    <row r="6" spans="2:14" ht="15.75" thickBot="1" x14ac:dyDescent="0.3">
      <c r="B6" s="45" t="s">
        <v>13</v>
      </c>
      <c r="C6" s="46"/>
      <c r="D6" s="47"/>
      <c r="E6" s="7"/>
      <c r="F6" s="3"/>
      <c r="G6" s="3"/>
      <c r="H6" s="26"/>
      <c r="I6" s="26"/>
      <c r="J6" s="4"/>
    </row>
    <row r="7" spans="2:14" ht="15.75" thickBot="1" x14ac:dyDescent="0.3">
      <c r="B7" s="8" t="s">
        <v>4</v>
      </c>
      <c r="C7" s="9">
        <f>EXP(D5)-3*(D5)</f>
        <v>6.1353352832366124</v>
      </c>
      <c r="D7" s="8" t="str">
        <f>IF(C7&gt;0,"Mayor que Cero","Menor que Cero")</f>
        <v>Mayor que Cero</v>
      </c>
      <c r="E7" s="2"/>
      <c r="F7" s="3"/>
      <c r="G7" s="3"/>
      <c r="H7" s="26"/>
      <c r="I7" s="26"/>
      <c r="J7" s="4"/>
    </row>
    <row r="8" spans="2:14" ht="15.75" thickBot="1" x14ac:dyDescent="0.3">
      <c r="B8" s="10" t="s">
        <v>5</v>
      </c>
      <c r="C8" s="11">
        <f xml:space="preserve"> EXP(E5) -3*E5</f>
        <v>-0.28171817154095491</v>
      </c>
      <c r="D8" s="10" t="str">
        <f>IF(C8&gt;0,"Mayor que Cero","Menor que Cero")</f>
        <v>Menor que Cero</v>
      </c>
      <c r="E8" s="2"/>
      <c r="F8" s="3"/>
      <c r="G8" s="3"/>
      <c r="H8" s="26"/>
      <c r="I8" s="26"/>
      <c r="J8" s="4"/>
    </row>
    <row r="9" spans="2:14" ht="15.75" thickBot="1" x14ac:dyDescent="0.3">
      <c r="B9" s="45" t="s">
        <v>10</v>
      </c>
      <c r="C9" s="46"/>
      <c r="D9" s="47"/>
      <c r="E9" s="2"/>
      <c r="F9" s="3"/>
      <c r="G9" s="3"/>
      <c r="H9" s="26"/>
      <c r="I9" s="26"/>
      <c r="J9" s="4"/>
    </row>
    <row r="10" spans="2:14" ht="15.75" thickBot="1" x14ac:dyDescent="0.3">
      <c r="B10" s="48" t="str">
        <f>IF(C7*C8&lt;0,"Cumple con Bolzano", "No cumple Bolzano, no aplicar el método")</f>
        <v>Cumple con Bolzano</v>
      </c>
      <c r="C10" s="49"/>
      <c r="D10" s="50"/>
      <c r="E10" s="2"/>
      <c r="F10" s="3"/>
      <c r="G10" s="3"/>
      <c r="H10" s="26"/>
      <c r="I10" s="26"/>
      <c r="J10" s="14"/>
    </row>
    <row r="11" spans="2:14" ht="15.75" thickBot="1" x14ac:dyDescent="0.3">
      <c r="B11" s="24"/>
      <c r="C11" s="25"/>
      <c r="D11" s="25"/>
      <c r="E11" s="12"/>
      <c r="F11" s="13"/>
      <c r="G11" s="13"/>
      <c r="H11" s="51" t="s">
        <v>16</v>
      </c>
      <c r="I11" s="52"/>
      <c r="J11" s="30">
        <f>10^-3</f>
        <v>1E-3</v>
      </c>
    </row>
    <row r="12" spans="2:14" ht="15.75" thickBot="1" x14ac:dyDescent="0.3">
      <c r="B12" s="15" t="s">
        <v>21</v>
      </c>
      <c r="C12" s="16" t="s">
        <v>6</v>
      </c>
      <c r="D12" s="16" t="s">
        <v>7</v>
      </c>
      <c r="E12" s="16" t="s">
        <v>19</v>
      </c>
      <c r="F12" s="16" t="s">
        <v>18</v>
      </c>
      <c r="G12" s="16" t="s">
        <v>11</v>
      </c>
      <c r="H12" s="16" t="s">
        <v>12</v>
      </c>
      <c r="I12" s="16" t="s">
        <v>20</v>
      </c>
      <c r="J12" s="17" t="s">
        <v>15</v>
      </c>
    </row>
    <row r="13" spans="2:14" ht="15.75" thickBot="1" x14ac:dyDescent="0.3">
      <c r="B13" s="28">
        <v>0</v>
      </c>
      <c r="C13" s="18">
        <f>D5</f>
        <v>-2</v>
      </c>
      <c r="D13" s="18">
        <f>E5</f>
        <v>1</v>
      </c>
      <c r="E13" s="18">
        <f>(C13+D13)/2</f>
        <v>-0.5</v>
      </c>
      <c r="F13" s="18">
        <f>EXP(E13) -3*E13</f>
        <v>2.1065306597126332</v>
      </c>
      <c r="G13" s="18">
        <f>EXP(C13) -3*C13</f>
        <v>6.1353352832366124</v>
      </c>
      <c r="H13" s="27">
        <f>G13*F13</f>
        <v>12.924271881754617</v>
      </c>
      <c r="I13" s="19">
        <f t="shared" ref="I13:I24" si="0">ABS(D13-C13)/2</f>
        <v>1.5</v>
      </c>
      <c r="J13" s="20" t="str">
        <f>IF(I13&lt;$J$11,"Parar el método","Continuar")</f>
        <v>Continuar</v>
      </c>
      <c r="K13" s="31" t="s">
        <v>17</v>
      </c>
      <c r="L13" s="32"/>
      <c r="M13" s="32"/>
      <c r="N13" s="33"/>
    </row>
    <row r="14" spans="2:14" x14ac:dyDescent="0.25">
      <c r="B14" s="29">
        <v>1</v>
      </c>
      <c r="C14" s="21">
        <f>IF(H13&gt;0,E13,C13)</f>
        <v>-0.5</v>
      </c>
      <c r="D14" s="21">
        <f>IF(H13&lt;0,E13,D13)</f>
        <v>1</v>
      </c>
      <c r="E14" s="18">
        <f t="shared" ref="E14:E24" si="1">(C14+D14)/2</f>
        <v>0.25</v>
      </c>
      <c r="F14" s="18">
        <f t="shared" ref="F14:F24" si="2">EXP(E14) -3*E14</f>
        <v>0.53402541668774139</v>
      </c>
      <c r="G14" s="18">
        <f t="shared" ref="G14:G24" si="3">EXP(C14) -3*C14</f>
        <v>2.1065306597126332</v>
      </c>
      <c r="H14" s="27">
        <f t="shared" ref="H14:H24" si="4">G14*F14</f>
        <v>1.1249409133185417</v>
      </c>
      <c r="I14" s="22">
        <f t="shared" si="0"/>
        <v>0.75</v>
      </c>
      <c r="J14" s="20" t="str">
        <f t="shared" ref="J14:J24" si="5">IF(I14&lt;$J$11,"Parar el método","Continuar")</f>
        <v>Continuar</v>
      </c>
    </row>
    <row r="15" spans="2:14" x14ac:dyDescent="0.25">
      <c r="B15" s="29">
        <v>2</v>
      </c>
      <c r="C15" s="21">
        <f t="shared" ref="C15:C24" si="6">IF(H14&gt;0,E14,C14)</f>
        <v>0.25</v>
      </c>
      <c r="D15" s="21">
        <f t="shared" ref="D15:D24" si="7">IF(H14&lt;0,E14,D14)</f>
        <v>1</v>
      </c>
      <c r="E15" s="18">
        <f t="shared" si="1"/>
        <v>0.625</v>
      </c>
      <c r="F15" s="18">
        <f t="shared" si="2"/>
        <v>-6.7540425677776739E-3</v>
      </c>
      <c r="G15" s="18">
        <f t="shared" si="3"/>
        <v>0.53402541668774139</v>
      </c>
      <c r="H15" s="27">
        <f t="shared" si="4"/>
        <v>-3.6068303965842152E-3</v>
      </c>
      <c r="I15" s="22">
        <f t="shared" si="0"/>
        <v>0.375</v>
      </c>
      <c r="J15" s="20" t="str">
        <f t="shared" si="5"/>
        <v>Continuar</v>
      </c>
    </row>
    <row r="16" spans="2:14" x14ac:dyDescent="0.25">
      <c r="B16" s="29">
        <v>3</v>
      </c>
      <c r="C16" s="21">
        <f t="shared" si="6"/>
        <v>0.25</v>
      </c>
      <c r="D16" s="21">
        <f t="shared" si="7"/>
        <v>0.625</v>
      </c>
      <c r="E16" s="18">
        <f t="shared" si="1"/>
        <v>0.4375</v>
      </c>
      <c r="F16" s="18">
        <f t="shared" si="2"/>
        <v>0.23633029863413313</v>
      </c>
      <c r="G16" s="18">
        <f t="shared" si="3"/>
        <v>0.53402541668774139</v>
      </c>
      <c r="H16" s="27">
        <f t="shared" si="4"/>
        <v>0.1262063862040313</v>
      </c>
      <c r="I16" s="22">
        <f t="shared" si="0"/>
        <v>0.1875</v>
      </c>
      <c r="J16" s="20" t="str">
        <f t="shared" si="5"/>
        <v>Continuar</v>
      </c>
    </row>
    <row r="17" spans="2:10" x14ac:dyDescent="0.25">
      <c r="B17" s="29">
        <v>4</v>
      </c>
      <c r="C17" s="21">
        <f t="shared" si="6"/>
        <v>0.4375</v>
      </c>
      <c r="D17" s="21">
        <f t="shared" si="7"/>
        <v>0.625</v>
      </c>
      <c r="E17" s="18">
        <f t="shared" si="1"/>
        <v>0.53125</v>
      </c>
      <c r="F17" s="18">
        <f t="shared" si="2"/>
        <v>0.10730730184840076</v>
      </c>
      <c r="G17" s="18">
        <f t="shared" si="3"/>
        <v>0.23633029863413313</v>
      </c>
      <c r="H17" s="27">
        <f t="shared" si="4"/>
        <v>2.5359966691455616E-2</v>
      </c>
      <c r="I17" s="22">
        <f t="shared" si="0"/>
        <v>9.375E-2</v>
      </c>
      <c r="J17" s="20" t="str">
        <f t="shared" si="5"/>
        <v>Continuar</v>
      </c>
    </row>
    <row r="18" spans="2:10" x14ac:dyDescent="0.25">
      <c r="B18" s="29">
        <v>5</v>
      </c>
      <c r="C18" s="21">
        <f t="shared" si="6"/>
        <v>0.53125</v>
      </c>
      <c r="D18" s="21">
        <f t="shared" si="7"/>
        <v>0.625</v>
      </c>
      <c r="E18" s="18">
        <f t="shared" si="1"/>
        <v>0.578125</v>
      </c>
      <c r="F18" s="18">
        <f t="shared" si="2"/>
        <v>4.8317746251814953E-2</v>
      </c>
      <c r="G18" s="18">
        <f t="shared" si="3"/>
        <v>0.10730730184840076</v>
      </c>
      <c r="H18" s="27">
        <f t="shared" si="4"/>
        <v>5.184846981677942E-3</v>
      </c>
      <c r="I18" s="22">
        <f t="shared" si="0"/>
        <v>4.6875E-2</v>
      </c>
      <c r="J18" s="20" t="str">
        <f t="shared" si="5"/>
        <v>Continuar</v>
      </c>
    </row>
    <row r="19" spans="2:10" x14ac:dyDescent="0.25">
      <c r="B19" s="29">
        <v>6</v>
      </c>
      <c r="C19" s="21">
        <f t="shared" si="6"/>
        <v>0.578125</v>
      </c>
      <c r="D19" s="21">
        <f t="shared" si="7"/>
        <v>0.625</v>
      </c>
      <c r="E19" s="18">
        <f t="shared" si="1"/>
        <v>0.6015625</v>
      </c>
      <c r="F19" s="18">
        <f t="shared" si="2"/>
        <v>2.0280586441157489E-2</v>
      </c>
      <c r="G19" s="18">
        <f t="shared" si="3"/>
        <v>4.8317746251814953E-2</v>
      </c>
      <c r="H19" s="27">
        <f t="shared" si="4"/>
        <v>9.7991222950184645E-4</v>
      </c>
      <c r="I19" s="22">
        <f t="shared" si="0"/>
        <v>2.34375E-2</v>
      </c>
      <c r="J19" s="20" t="str">
        <f t="shared" si="5"/>
        <v>Continuar</v>
      </c>
    </row>
    <row r="20" spans="2:10" x14ac:dyDescent="0.25">
      <c r="B20" s="29">
        <v>7</v>
      </c>
      <c r="C20" s="21">
        <f t="shared" si="6"/>
        <v>0.6015625</v>
      </c>
      <c r="D20" s="21">
        <f t="shared" si="7"/>
        <v>0.625</v>
      </c>
      <c r="E20" s="18">
        <f t="shared" si="1"/>
        <v>0.61328125</v>
      </c>
      <c r="F20" s="18">
        <f t="shared" si="2"/>
        <v>6.6364827500045021E-3</v>
      </c>
      <c r="G20" s="18">
        <f t="shared" si="3"/>
        <v>2.0280586441157489E-2</v>
      </c>
      <c r="H20" s="27">
        <f t="shared" si="4"/>
        <v>1.3459176207671688E-4</v>
      </c>
      <c r="I20" s="22">
        <f t="shared" si="0"/>
        <v>1.171875E-2</v>
      </c>
      <c r="J20" s="20" t="str">
        <f t="shared" si="5"/>
        <v>Continuar</v>
      </c>
    </row>
    <row r="21" spans="2:10" x14ac:dyDescent="0.25">
      <c r="B21" s="29">
        <v>8</v>
      </c>
      <c r="C21" s="21">
        <f t="shared" si="6"/>
        <v>0.61328125</v>
      </c>
      <c r="D21" s="21">
        <f t="shared" si="7"/>
        <v>0.625</v>
      </c>
      <c r="E21" s="18">
        <f t="shared" si="1"/>
        <v>0.619140625</v>
      </c>
      <c r="F21" s="18">
        <f t="shared" si="2"/>
        <v>-9.0663203432761463E-5</v>
      </c>
      <c r="G21" s="18">
        <f t="shared" si="3"/>
        <v>6.6364827500045021E-3</v>
      </c>
      <c r="H21" s="27">
        <f t="shared" si="4"/>
        <v>-6.0168478564167041E-7</v>
      </c>
      <c r="I21" s="22">
        <f t="shared" si="0"/>
        <v>5.859375E-3</v>
      </c>
      <c r="J21" s="20" t="str">
        <f t="shared" si="5"/>
        <v>Continuar</v>
      </c>
    </row>
    <row r="22" spans="2:10" x14ac:dyDescent="0.25">
      <c r="B22" s="29">
        <v>9</v>
      </c>
      <c r="C22" s="21">
        <f t="shared" si="6"/>
        <v>0.61328125</v>
      </c>
      <c r="D22" s="21">
        <f t="shared" si="7"/>
        <v>0.619140625</v>
      </c>
      <c r="E22" s="18">
        <f t="shared" si="1"/>
        <v>0.6162109375</v>
      </c>
      <c r="F22" s="18">
        <f t="shared" si="2"/>
        <v>3.2649622845515314E-3</v>
      </c>
      <c r="G22" s="18">
        <f t="shared" si="3"/>
        <v>6.6364827500045021E-3</v>
      </c>
      <c r="H22" s="27">
        <f t="shared" si="4"/>
        <v>2.1667865880841529E-5</v>
      </c>
      <c r="I22" s="22">
        <f t="shared" si="0"/>
        <v>2.9296875E-3</v>
      </c>
      <c r="J22" s="20" t="str">
        <f t="shared" si="5"/>
        <v>Continuar</v>
      </c>
    </row>
    <row r="23" spans="2:10" x14ac:dyDescent="0.25">
      <c r="B23" s="29">
        <v>10</v>
      </c>
      <c r="C23" s="21">
        <f t="shared" si="6"/>
        <v>0.6162109375</v>
      </c>
      <c r="D23" s="21">
        <f t="shared" si="7"/>
        <v>0.619140625</v>
      </c>
      <c r="E23" s="18">
        <f t="shared" si="1"/>
        <v>0.61767578125</v>
      </c>
      <c r="F23" s="18">
        <f t="shared" si="2"/>
        <v>1.5851597568532494E-3</v>
      </c>
      <c r="G23" s="18">
        <f t="shared" si="3"/>
        <v>3.2649622845515314E-3</v>
      </c>
      <c r="H23" s="27">
        <f t="shared" si="4"/>
        <v>5.175486821114735E-6</v>
      </c>
      <c r="I23" s="22">
        <f t="shared" si="0"/>
        <v>1.46484375E-3</v>
      </c>
      <c r="J23" s="20" t="str">
        <f t="shared" si="5"/>
        <v>Continuar</v>
      </c>
    </row>
    <row r="24" spans="2:10" x14ac:dyDescent="0.25">
      <c r="B24" s="29">
        <v>11</v>
      </c>
      <c r="C24" s="21">
        <f t="shared" si="6"/>
        <v>0.61767578125</v>
      </c>
      <c r="D24" s="21">
        <f t="shared" si="7"/>
        <v>0.619140625</v>
      </c>
      <c r="E24" s="18">
        <f t="shared" si="1"/>
        <v>0.618408203125</v>
      </c>
      <c r="F24" s="18">
        <f t="shared" si="2"/>
        <v>7.4675046637673326E-4</v>
      </c>
      <c r="G24" s="18">
        <f t="shared" si="3"/>
        <v>1.5851597568532494E-3</v>
      </c>
      <c r="H24" s="27">
        <f t="shared" si="4"/>
        <v>1.183718787711793E-6</v>
      </c>
      <c r="I24" s="22">
        <f t="shared" si="0"/>
        <v>7.32421875E-4</v>
      </c>
      <c r="J24" s="20" t="str">
        <f t="shared" si="5"/>
        <v>Parar el método</v>
      </c>
    </row>
    <row r="25" spans="2:10" ht="15.75" thickBot="1" x14ac:dyDescent="0.3">
      <c r="B25" s="23" t="s">
        <v>8</v>
      </c>
      <c r="C25" s="41" t="str">
        <f>E24&amp;" +/- "&amp; I24</f>
        <v>0,618408203125 +/- 0,000732421875</v>
      </c>
      <c r="D25" s="41"/>
      <c r="E25" s="34"/>
      <c r="F25" s="35"/>
      <c r="G25" s="35"/>
      <c r="H25" s="35"/>
      <c r="I25" s="35"/>
      <c r="J25" s="36"/>
    </row>
  </sheetData>
  <mergeCells count="11">
    <mergeCell ref="K13:N13"/>
    <mergeCell ref="E25:J25"/>
    <mergeCell ref="B3:C3"/>
    <mergeCell ref="B5:C5"/>
    <mergeCell ref="C25:D25"/>
    <mergeCell ref="D3:J3"/>
    <mergeCell ref="B6:D6"/>
    <mergeCell ref="B9:D9"/>
    <mergeCell ref="B10:D10"/>
    <mergeCell ref="B4:C4"/>
    <mergeCell ref="H11:I11"/>
  </mergeCells>
  <conditionalFormatting sqref="J4:J24">
    <cfRule type="cellIs" dxfId="2" priority="1" stopIfTrue="1" operator="equal">
      <formula>"Parar el método"</formula>
    </cfRule>
  </conditionalFormatting>
  <conditionalFormatting sqref="D2:D5 D7:D8 D11:D28">
    <cfRule type="cellIs" dxfId="1" priority="2" stopIfTrue="1" operator="equal">
      <formula>"Mayor que cero"</formula>
    </cfRule>
    <cfRule type="cellIs" dxfId="0" priority="3" stopIfTrue="1" operator="equal">
      <formula>"Menor que cero"</formula>
    </cfRule>
  </conditionalFormatting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Devices</dc:creator>
  <cp:lastModifiedBy>All Devices</cp:lastModifiedBy>
  <dcterms:created xsi:type="dcterms:W3CDTF">2020-05-15T17:43:00Z</dcterms:created>
  <dcterms:modified xsi:type="dcterms:W3CDTF">2020-05-15T18:15:06Z</dcterms:modified>
</cp:coreProperties>
</file>