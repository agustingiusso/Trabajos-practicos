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OCUMENTOS DIEGO\Diego\Facultades\00 - Apuntes PARA TEORIA DIEGO\02 - Raices\"/>
    </mc:Choice>
  </mc:AlternateContent>
  <bookViews>
    <workbookView xWindow="0" yWindow="0" windowWidth="28800" windowHeight="12435"/>
  </bookViews>
  <sheets>
    <sheet name="Ejemplos Newt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5" i="1"/>
  <c r="C7" i="1"/>
  <c r="D7" i="1" s="1"/>
  <c r="E7" i="1" l="1"/>
  <c r="F7" i="1" s="1"/>
  <c r="C20" i="1"/>
  <c r="E20" i="1" s="1"/>
  <c r="C8" i="1" l="1"/>
  <c r="G7" i="1"/>
  <c r="H7" i="1" s="1"/>
  <c r="D20" i="1"/>
  <c r="F20" i="1" s="1"/>
  <c r="D8" i="1" l="1"/>
  <c r="E8" i="1"/>
  <c r="F8" i="1" s="1"/>
  <c r="C21" i="1"/>
  <c r="G20" i="1"/>
  <c r="H20" i="1" s="1"/>
  <c r="G8" i="1" l="1"/>
  <c r="H8" i="1" s="1"/>
  <c r="C9" i="1"/>
  <c r="E21" i="1"/>
  <c r="D21" i="1"/>
  <c r="F21" i="1" l="1"/>
  <c r="G21" i="1" s="1"/>
  <c r="H21" i="1" s="1"/>
  <c r="D9" i="1"/>
  <c r="E9" i="1"/>
  <c r="C22" i="1" l="1"/>
  <c r="D22" i="1" s="1"/>
  <c r="F9" i="1"/>
  <c r="C10" i="1"/>
  <c r="G9" i="1"/>
  <c r="H9" i="1" s="1"/>
  <c r="E22" i="1"/>
  <c r="E10" i="1" l="1"/>
  <c r="D10" i="1"/>
  <c r="F22" i="1"/>
  <c r="C23" i="1" s="1"/>
  <c r="F10" i="1" l="1"/>
  <c r="G10" i="1"/>
  <c r="H10" i="1" s="1"/>
  <c r="C11" i="1"/>
  <c r="G22" i="1"/>
  <c r="H22" i="1" s="1"/>
  <c r="E23" i="1"/>
  <c r="D23" i="1"/>
  <c r="D11" i="1" l="1"/>
  <c r="E11" i="1"/>
  <c r="F23" i="1"/>
  <c r="C24" i="1" s="1"/>
  <c r="G23" i="1" l="1"/>
  <c r="H23" i="1" s="1"/>
  <c r="F11" i="1"/>
  <c r="E24" i="1"/>
  <c r="D24" i="1"/>
  <c r="G11" i="1" l="1"/>
  <c r="H11" i="1" s="1"/>
  <c r="C12" i="1"/>
  <c r="F24" i="1"/>
  <c r="C25" i="1" s="1"/>
  <c r="C28" i="1" l="1"/>
  <c r="G24" i="1"/>
  <c r="H24" i="1" s="1"/>
  <c r="E25" i="1"/>
  <c r="D25" i="1"/>
  <c r="F25" i="1" l="1"/>
  <c r="G25" i="1" s="1"/>
  <c r="H25" i="1" s="1"/>
  <c r="C26" i="1" l="1"/>
  <c r="E26" i="1" s="1"/>
  <c r="D26" i="1" l="1"/>
  <c r="F26" i="1" s="1"/>
  <c r="C27" i="1" l="1"/>
  <c r="G26" i="1"/>
  <c r="H26" i="1" s="1"/>
  <c r="E27" i="1"/>
  <c r="D27" i="1"/>
  <c r="F27" i="1" l="1"/>
  <c r="G27" i="1" s="1"/>
  <c r="H27" i="1" s="1"/>
</calcChain>
</file>

<file path=xl/comments1.xml><?xml version="1.0" encoding="utf-8"?>
<comments xmlns="http://schemas.openxmlformats.org/spreadsheetml/2006/main">
  <authors>
    <author>All Devices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Tomo el valor Inicial X0
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Evaluo la función en Xn
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Evaluo la derivada en Xn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Con la función SI, vemos primero si la derivada no se hace NULA, si es asi manda un msg de error, en caso contrario aplica NEWTON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A partir de aca copio el punto anterior calculado por Newton
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Como es el tiempo que voy a medir para ver como se reduce la población empiezo del tiempo t=o</t>
        </r>
      </text>
    </comment>
    <comment ref="C19" authorId="0" shapeId="0">
      <text>
        <r>
          <rPr>
            <b/>
            <sz val="9"/>
            <color indexed="81"/>
            <rFont val="Tahoma"/>
            <charset val="1"/>
          </rPr>
          <t>All Devices:</t>
        </r>
        <r>
          <rPr>
            <sz val="9"/>
            <color indexed="81"/>
            <rFont val="Tahoma"/>
            <charset val="1"/>
          </rPr>
          <t xml:space="preserve">
En este caso uso la variable Tn (en vez de Xn, es lo mismo) porque estamos hablando del tiempo. Entonces comienzo el proceso aquí como t0 = 0 (Tiempo Inicial)
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All Devices:</t>
        </r>
        <r>
          <rPr>
            <sz val="9"/>
            <color indexed="81"/>
            <rFont val="Tahoma"/>
            <charset val="1"/>
          </rPr>
          <t xml:space="preserve">
Aca evaluamos la función en el punto t que estamos parados
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All Devices:</t>
        </r>
        <r>
          <rPr>
            <sz val="9"/>
            <color indexed="81"/>
            <rFont val="Tahoma"/>
            <charset val="1"/>
          </rPr>
          <t xml:space="preserve">
Acá trabajamos con la derivada de la función
</t>
        </r>
      </text>
    </comment>
    <comment ref="F19" authorId="0" shapeId="0">
      <text>
        <r>
          <rPr>
            <b/>
            <sz val="9"/>
            <color indexed="81"/>
            <rFont val="Tahoma"/>
            <charset val="1"/>
          </rPr>
          <t>All Devices:</t>
        </r>
        <r>
          <rPr>
            <sz val="9"/>
            <color indexed="81"/>
            <rFont val="Tahoma"/>
            <charset val="1"/>
          </rPr>
          <t xml:space="preserve">
En esta celda aplicamos el método de Newton (Su fórmula)
</t>
        </r>
      </text>
    </comment>
    <comment ref="H19" authorId="0" shapeId="0">
      <text>
        <r>
          <rPr>
            <b/>
            <sz val="9"/>
            <color indexed="81"/>
            <rFont val="Tahoma"/>
            <charset val="1"/>
          </rPr>
          <t>All Devices:</t>
        </r>
        <r>
          <rPr>
            <sz val="9"/>
            <color indexed="81"/>
            <rFont val="Tahoma"/>
            <charset val="1"/>
          </rPr>
          <t xml:space="preserve">
Trabajamos con la función SI y para que nos de un mensaje usamos las " comillas dobles</t>
        </r>
      </text>
    </comment>
  </commentList>
</comments>
</file>

<file path=xl/sharedStrings.xml><?xml version="1.0" encoding="utf-8"?>
<sst xmlns="http://schemas.openxmlformats.org/spreadsheetml/2006/main" count="37" uniqueCount="30">
  <si>
    <t>Prof. Amiconi Diego</t>
  </si>
  <si>
    <t>Función</t>
  </si>
  <si>
    <t>Ingrese la Tolerancia e=</t>
  </si>
  <si>
    <t>n</t>
  </si>
  <si>
    <t>Raiz =</t>
  </si>
  <si>
    <t>Método de Newton</t>
  </si>
  <si>
    <t>Pto Inicio</t>
  </si>
  <si>
    <t>f(t) = 80*e^(-2t) + 20*e^(-0,5t) - 7</t>
  </si>
  <si>
    <t>f´(t) = -160*e^(-2t) - 10*e^(-t/2)</t>
  </si>
  <si>
    <t>tn</t>
  </si>
  <si>
    <t>f(t)</t>
  </si>
  <si>
    <t>f'(t)</t>
  </si>
  <si>
    <t>tn+1</t>
  </si>
  <si>
    <t>Error</t>
  </si>
  <si>
    <t>Pto Inicio X0</t>
  </si>
  <si>
    <t>f(x) = x^2-4x-45</t>
  </si>
  <si>
    <t>f´(x) = 2x-4</t>
  </si>
  <si>
    <t>Ej. 7a)</t>
  </si>
  <si>
    <t>Xn</t>
  </si>
  <si>
    <t>f(xn)</t>
  </si>
  <si>
    <t>f´(xn)</t>
  </si>
  <si>
    <t>Xn+1</t>
  </si>
  <si>
    <t>Error = ABS(Xn+1 - Xn)</t>
  </si>
  <si>
    <t>C. Paro</t>
  </si>
  <si>
    <t>Este ejercicio para por 4 iteraciones, no pide por el error</t>
  </si>
  <si>
    <t>Probar con X0=4 y con X0=2</t>
  </si>
  <si>
    <t>Ej. 9</t>
  </si>
  <si>
    <t>Este ejercicio no nos pide donde parar. Definimos como criterio de paro por ej. un e=10^-4</t>
  </si>
  <si>
    <t>Lean los comentarios que les puse en algunas celdas que explican que es lo que estamos calculando (flechas rojas en las celdas)</t>
  </si>
  <si>
    <t>Es decir que como hablamos de tiempo, 2,30 hs es que tarda en bajar la concentracion 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</si>
</sst>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8" xfId="0" applyFont="1" applyFill="1" applyBorder="1" applyAlignment="1">
      <alignment horizontal="center"/>
    </xf>
    <xf numFmtId="0" fontId="0" fillId="0" borderId="10" xfId="0" applyBorder="1"/>
    <xf numFmtId="0" fontId="0" fillId="0" borderId="15" xfId="0" applyBorder="1"/>
    <xf numFmtId="0" fontId="0" fillId="0" borderId="0" xfId="0" applyBorder="1"/>
    <xf numFmtId="0" fontId="0" fillId="0" borderId="17" xfId="0" applyBorder="1"/>
    <xf numFmtId="0" fontId="2" fillId="0" borderId="20" xfId="0" applyFont="1" applyBorder="1" applyAlignment="1">
      <alignment horizontal="center"/>
    </xf>
    <xf numFmtId="164" fontId="2" fillId="0" borderId="10" xfId="0" applyNumberFormat="1" applyFont="1" applyBorder="1" applyAlignment="1"/>
    <xf numFmtId="0" fontId="2" fillId="0" borderId="10" xfId="0" applyFont="1" applyBorder="1"/>
    <xf numFmtId="0" fontId="2" fillId="0" borderId="2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165" fontId="2" fillId="0" borderId="10" xfId="0" applyNumberFormat="1" applyFont="1" applyBorder="1" applyAlignment="1">
      <alignment horizontal="center"/>
    </xf>
    <xf numFmtId="0" fontId="2" fillId="0" borderId="12" xfId="0" applyFont="1" applyBorder="1"/>
    <xf numFmtId="0" fontId="2" fillId="0" borderId="21" xfId="0" applyFont="1" applyBorder="1" applyAlignment="1">
      <alignment horizontal="center"/>
    </xf>
    <xf numFmtId="165" fontId="2" fillId="0" borderId="22" xfId="0" applyNumberFormat="1" applyFont="1" applyBorder="1" applyAlignment="1">
      <alignment horizontal="center"/>
    </xf>
    <xf numFmtId="0" fontId="2" fillId="0" borderId="22" xfId="0" applyFont="1" applyBorder="1"/>
    <xf numFmtId="0" fontId="2" fillId="0" borderId="28" xfId="0" applyFont="1" applyBorder="1"/>
    <xf numFmtId="0" fontId="1" fillId="4" borderId="11" xfId="0" applyFont="1" applyFill="1" applyBorder="1" applyAlignment="1">
      <alignment horizontal="center"/>
    </xf>
    <xf numFmtId="0" fontId="0" fillId="0" borderId="7" xfId="0" applyBorder="1"/>
    <xf numFmtId="0" fontId="2" fillId="2" borderId="10" xfId="0" applyFont="1" applyFill="1" applyBorder="1" applyAlignment="1">
      <alignment horizontal="center"/>
    </xf>
    <xf numFmtId="0" fontId="2" fillId="5" borderId="29" xfId="0" applyFont="1" applyFill="1" applyBorder="1"/>
    <xf numFmtId="164" fontId="2" fillId="0" borderId="22" xfId="0" applyNumberFormat="1" applyFont="1" applyBorder="1" applyAlignment="1"/>
    <xf numFmtId="0" fontId="2" fillId="2" borderId="3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7" borderId="36" xfId="0" applyFont="1" applyFill="1" applyBorder="1" applyAlignment="1">
      <alignment horizontal="left"/>
    </xf>
    <xf numFmtId="0" fontId="2" fillId="7" borderId="37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0" fillId="6" borderId="32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E35" sqref="E35"/>
    </sheetView>
  </sheetViews>
  <sheetFormatPr baseColWidth="10" defaultRowHeight="15" x14ac:dyDescent="0.25"/>
  <cols>
    <col min="3" max="3" width="20.85546875" customWidth="1"/>
    <col min="4" max="4" width="24.85546875" bestFit="1" customWidth="1"/>
    <col min="7" max="7" width="22" bestFit="1" customWidth="1"/>
    <col min="8" max="8" width="20.5703125" customWidth="1"/>
    <col min="9" max="9" width="24.85546875" bestFit="1" customWidth="1"/>
  </cols>
  <sheetData>
    <row r="1" spans="1:8" ht="15.75" thickBot="1" x14ac:dyDescent="0.3"/>
    <row r="2" spans="1:8" ht="15.75" thickBot="1" x14ac:dyDescent="0.3">
      <c r="A2" s="28" t="s">
        <v>17</v>
      </c>
      <c r="B2" s="68" t="s">
        <v>5</v>
      </c>
      <c r="C2" s="69"/>
      <c r="D2" s="41" t="s">
        <v>0</v>
      </c>
      <c r="E2" s="42"/>
      <c r="F2" s="42"/>
      <c r="G2" s="42"/>
      <c r="H2" s="43"/>
    </row>
    <row r="3" spans="1:8" ht="15.75" thickBot="1" x14ac:dyDescent="0.3">
      <c r="B3" s="70" t="s">
        <v>1</v>
      </c>
      <c r="C3" s="71"/>
      <c r="D3" s="31" t="s">
        <v>14</v>
      </c>
      <c r="F3" s="44" t="s">
        <v>24</v>
      </c>
      <c r="G3" s="45"/>
      <c r="H3" s="46"/>
    </row>
    <row r="4" spans="1:8" ht="15.75" thickBot="1" x14ac:dyDescent="0.3">
      <c r="B4" s="57" t="s">
        <v>15</v>
      </c>
      <c r="C4" s="58"/>
      <c r="D4" s="32">
        <v>0.5</v>
      </c>
      <c r="E4" s="30"/>
      <c r="F4" s="3"/>
      <c r="G4" s="3"/>
      <c r="H4" s="5"/>
    </row>
    <row r="5" spans="1:8" ht="15.75" thickBot="1" x14ac:dyDescent="0.3">
      <c r="B5" s="39" t="s">
        <v>16</v>
      </c>
      <c r="C5" s="40"/>
      <c r="D5" s="24" t="s">
        <v>25</v>
      </c>
      <c r="E5" s="2"/>
      <c r="F5" s="2"/>
      <c r="G5" s="23" t="s">
        <v>2</v>
      </c>
      <c r="H5" s="37">
        <f>10^-3</f>
        <v>1E-3</v>
      </c>
    </row>
    <row r="6" spans="1:8" x14ac:dyDescent="0.25">
      <c r="B6" s="33" t="s">
        <v>3</v>
      </c>
      <c r="C6" s="34" t="s">
        <v>18</v>
      </c>
      <c r="D6" s="25" t="s">
        <v>19</v>
      </c>
      <c r="E6" s="25" t="s">
        <v>20</v>
      </c>
      <c r="F6" s="25" t="s">
        <v>21</v>
      </c>
      <c r="G6" s="25" t="s">
        <v>22</v>
      </c>
      <c r="H6" s="36" t="s">
        <v>23</v>
      </c>
    </row>
    <row r="7" spans="1:8" x14ac:dyDescent="0.25">
      <c r="B7" s="6">
        <v>0</v>
      </c>
      <c r="C7" s="7">
        <f>D4</f>
        <v>0.5</v>
      </c>
      <c r="D7" s="7">
        <f>C7^2-4*C7-45</f>
        <v>-46.75</v>
      </c>
      <c r="E7" s="7">
        <f>2*C7-4</f>
        <v>-3</v>
      </c>
      <c r="F7" s="7">
        <f>IF(E7=0,"Error Punto Indeterminado, por favor cambie el punto Inicial X0", C7-(D7/E7))</f>
        <v>-15.083333333333334</v>
      </c>
      <c r="G7" s="7">
        <f>ABS(F7-C7)</f>
        <v>15.583333333333334</v>
      </c>
      <c r="H7" s="18" t="str">
        <f>IF(G7&lt;$H$5,"Llegue a la Raíz","Continuar")</f>
        <v>Continuar</v>
      </c>
    </row>
    <row r="8" spans="1:8" x14ac:dyDescent="0.25">
      <c r="B8" s="6">
        <v>1</v>
      </c>
      <c r="C8" s="7">
        <f>F7</f>
        <v>-15.083333333333334</v>
      </c>
      <c r="D8" s="7">
        <f t="shared" ref="D8:D11" si="0">C8^2-4*C8-45</f>
        <v>242.84027777777777</v>
      </c>
      <c r="E8" s="7">
        <f t="shared" ref="E8:E11" si="1">2*C8-4</f>
        <v>-34.166666666666671</v>
      </c>
      <c r="F8" s="7">
        <f t="shared" ref="F8:F11" si="2">IF(E8=0,"Error Punto Indeterminado, por favor cambie el punto Inicial X0", C8-(D8/E8))</f>
        <v>-7.9758130081300829</v>
      </c>
      <c r="G8" s="7">
        <f t="shared" ref="G8:G11" si="3">ABS(F8-C8)</f>
        <v>7.1075203252032511</v>
      </c>
      <c r="H8" s="18" t="str">
        <f t="shared" ref="H8:H11" si="4">IF(G8&lt;$H$5,"Llegue a la Raíz","Continuar")</f>
        <v>Continuar</v>
      </c>
    </row>
    <row r="9" spans="1:8" x14ac:dyDescent="0.25">
      <c r="B9" s="6">
        <v>2</v>
      </c>
      <c r="C9" s="7">
        <f t="shared" ref="C9:C11" si="5">F8</f>
        <v>-7.9758130081300829</v>
      </c>
      <c r="D9" s="7">
        <f t="shared" si="0"/>
        <v>50.516845173177373</v>
      </c>
      <c r="E9" s="7">
        <f t="shared" si="1"/>
        <v>-19.951626016260164</v>
      </c>
      <c r="F9" s="7">
        <f t="shared" si="2"/>
        <v>-5.4438466845829598</v>
      </c>
      <c r="G9" s="7">
        <f t="shared" si="3"/>
        <v>2.531966323547123</v>
      </c>
      <c r="H9" s="18" t="str">
        <f t="shared" si="4"/>
        <v>Continuar</v>
      </c>
    </row>
    <row r="10" spans="1:8" x14ac:dyDescent="0.25">
      <c r="B10" s="6">
        <v>3</v>
      </c>
      <c r="C10" s="7">
        <f t="shared" si="5"/>
        <v>-5.4438466845829598</v>
      </c>
      <c r="D10" s="7">
        <f t="shared" si="0"/>
        <v>6.4108534635767285</v>
      </c>
      <c r="E10" s="7">
        <f t="shared" si="1"/>
        <v>-14.88769336916592</v>
      </c>
      <c r="F10" s="7">
        <f t="shared" si="2"/>
        <v>-5.0132323976945479</v>
      </c>
      <c r="G10" s="7">
        <f t="shared" si="3"/>
        <v>0.43061428688841197</v>
      </c>
      <c r="H10" s="18" t="str">
        <f t="shared" si="4"/>
        <v>Continuar</v>
      </c>
    </row>
    <row r="11" spans="1:8" ht="15.75" thickBot="1" x14ac:dyDescent="0.3">
      <c r="B11" s="19">
        <v>4</v>
      </c>
      <c r="C11" s="27">
        <f t="shared" si="5"/>
        <v>-5.0132323976945479</v>
      </c>
      <c r="D11" s="27">
        <f t="shared" si="0"/>
        <v>0.18542866407241831</v>
      </c>
      <c r="E11" s="27">
        <f t="shared" si="1"/>
        <v>-14.026464795389096</v>
      </c>
      <c r="F11" s="27">
        <f t="shared" si="2"/>
        <v>-5.0000124832843698</v>
      </c>
      <c r="G11" s="27">
        <f t="shared" si="3"/>
        <v>1.3219914410178113E-2</v>
      </c>
      <c r="H11" s="18" t="str">
        <f t="shared" si="4"/>
        <v>Continuar</v>
      </c>
    </row>
    <row r="12" spans="1:8" ht="15.75" thickBot="1" x14ac:dyDescent="0.3">
      <c r="B12" s="26" t="s">
        <v>4</v>
      </c>
      <c r="C12" s="52" t="str">
        <f>F11&amp;" +/- " &amp;G11</f>
        <v>-5,00001248328437 +/- 0,0132199144101781</v>
      </c>
      <c r="D12" s="52"/>
      <c r="E12" s="53"/>
      <c r="F12" s="54"/>
      <c r="G12" s="54"/>
      <c r="H12" s="54"/>
    </row>
    <row r="14" spans="1:8" ht="15.75" thickBot="1" x14ac:dyDescent="0.3"/>
    <row r="15" spans="1:8" ht="15.75" thickBot="1" x14ac:dyDescent="0.3">
      <c r="A15" s="38" t="s">
        <v>26</v>
      </c>
      <c r="B15" s="55" t="s">
        <v>5</v>
      </c>
      <c r="C15" s="56"/>
      <c r="D15" s="41" t="s">
        <v>0</v>
      </c>
      <c r="E15" s="42"/>
      <c r="F15" s="42"/>
      <c r="G15" s="42"/>
      <c r="H15" s="43"/>
    </row>
    <row r="16" spans="1:8" ht="15.75" thickBot="1" x14ac:dyDescent="0.3">
      <c r="B16" s="47" t="s">
        <v>1</v>
      </c>
      <c r="C16" s="48"/>
      <c r="D16" s="29" t="s">
        <v>6</v>
      </c>
      <c r="F16" s="59" t="s">
        <v>27</v>
      </c>
      <c r="G16" s="60"/>
      <c r="H16" s="61"/>
    </row>
    <row r="17" spans="2:8" ht="15.75" thickBot="1" x14ac:dyDescent="0.3">
      <c r="B17" s="57" t="s">
        <v>7</v>
      </c>
      <c r="C17" s="58"/>
      <c r="D17" s="9">
        <v>0</v>
      </c>
      <c r="E17" s="4"/>
      <c r="F17" s="62"/>
      <c r="G17" s="63"/>
      <c r="H17" s="64"/>
    </row>
    <row r="18" spans="2:8" ht="15.75" thickBot="1" x14ac:dyDescent="0.3">
      <c r="B18" s="39" t="s">
        <v>8</v>
      </c>
      <c r="C18" s="40"/>
      <c r="D18" s="10"/>
      <c r="E18" s="4"/>
      <c r="F18" s="4"/>
      <c r="G18" s="23" t="s">
        <v>2</v>
      </c>
      <c r="H18" s="37">
        <f>10^-4</f>
        <v>1E-4</v>
      </c>
    </row>
    <row r="19" spans="2:8" ht="15.75" thickBot="1" x14ac:dyDescent="0.3">
      <c r="B19" s="1" t="s">
        <v>3</v>
      </c>
      <c r="C19" s="11" t="s">
        <v>9</v>
      </c>
      <c r="D19" s="11" t="s">
        <v>10</v>
      </c>
      <c r="E19" s="11" t="s">
        <v>11</v>
      </c>
      <c r="F19" s="11" t="s">
        <v>12</v>
      </c>
      <c r="G19" s="11" t="s">
        <v>13</v>
      </c>
      <c r="H19" s="12" t="s">
        <v>23</v>
      </c>
    </row>
    <row r="20" spans="2:8" x14ac:dyDescent="0.25">
      <c r="B20" s="13">
        <v>0</v>
      </c>
      <c r="C20" s="14">
        <f>D17</f>
        <v>0</v>
      </c>
      <c r="D20" s="15">
        <f>(80*EXP(-2*C20))+(20*EXP(-0.5*C20))-7</f>
        <v>93</v>
      </c>
      <c r="E20" s="15">
        <f>(-160*(EXP(-2*C20)))-(10*EXP(-C20/2))</f>
        <v>-170</v>
      </c>
      <c r="F20" s="14">
        <f>C20-(D20/E20)</f>
        <v>0.54705882352941182</v>
      </c>
      <c r="G20" s="14">
        <f t="shared" ref="G20:G27" si="6">ABS(F20-C20)</f>
        <v>0.54705882352941182</v>
      </c>
      <c r="H20" s="16" t="str">
        <f>IF(G20&lt;$H$18,"Parar el método","Continuar")</f>
        <v>Continuar</v>
      </c>
    </row>
    <row r="21" spans="2:8" x14ac:dyDescent="0.25">
      <c r="B21" s="6">
        <v>1</v>
      </c>
      <c r="C21" s="17">
        <f t="shared" ref="C21:C27" si="7">F20</f>
        <v>0.54705882352941182</v>
      </c>
      <c r="D21" s="8">
        <f t="shared" ref="D21:D27" si="8">(80*EXP(-2*C21))+(20*EXP(-0.5*C21))-7</f>
        <v>35.000592793485261</v>
      </c>
      <c r="E21" s="8">
        <f t="shared" ref="E21:E27" si="9">(-160*(EXP(-2*C21)))-(10*EXP(-C21/2))</f>
        <v>-61.180486703191228</v>
      </c>
      <c r="F21" s="17">
        <f t="shared" ref="F21:F27" si="10">C21-(D21/E21)</f>
        <v>1.1191463416180771</v>
      </c>
      <c r="G21" s="17">
        <f t="shared" si="6"/>
        <v>0.57208751808866531</v>
      </c>
      <c r="H21" s="18" t="str">
        <f t="shared" ref="H21:H27" si="11">IF(G21&lt;$H$18,"Parar el método","Continuar")</f>
        <v>Continuar</v>
      </c>
    </row>
    <row r="22" spans="2:8" x14ac:dyDescent="0.25">
      <c r="B22" s="6">
        <v>2</v>
      </c>
      <c r="C22" s="17">
        <f t="shared" si="7"/>
        <v>1.1191463416180771</v>
      </c>
      <c r="D22" s="8">
        <f t="shared" si="8"/>
        <v>12.960291933130595</v>
      </c>
      <c r="E22" s="8">
        <f t="shared" si="9"/>
        <v>-22.77699612852679</v>
      </c>
      <c r="F22" s="17">
        <f t="shared" si="10"/>
        <v>1.6881542942031253</v>
      </c>
      <c r="G22" s="17">
        <f t="shared" si="6"/>
        <v>0.56900795258504822</v>
      </c>
      <c r="H22" s="18" t="str">
        <f t="shared" si="11"/>
        <v>Continuar</v>
      </c>
    </row>
    <row r="23" spans="2:8" x14ac:dyDescent="0.25">
      <c r="B23" s="6">
        <v>3</v>
      </c>
      <c r="C23" s="17">
        <f t="shared" si="7"/>
        <v>1.6881542942031253</v>
      </c>
      <c r="D23" s="8">
        <f t="shared" si="8"/>
        <v>4.3329488018470848</v>
      </c>
      <c r="E23" s="8">
        <f t="shared" si="9"/>
        <v>-9.7672788205554362</v>
      </c>
      <c r="F23" s="17">
        <f t="shared" si="10"/>
        <v>2.1317731241200422</v>
      </c>
      <c r="G23" s="17">
        <f t="shared" si="6"/>
        <v>0.44361882991691681</v>
      </c>
      <c r="H23" s="18" t="str">
        <f t="shared" si="11"/>
        <v>Continuar</v>
      </c>
    </row>
    <row r="24" spans="2:8" x14ac:dyDescent="0.25">
      <c r="B24" s="6">
        <v>4</v>
      </c>
      <c r="C24" s="17">
        <f t="shared" si="7"/>
        <v>2.1317731241200422</v>
      </c>
      <c r="D24" s="8">
        <f t="shared" si="8"/>
        <v>1.0142321445676945</v>
      </c>
      <c r="E24" s="8">
        <f t="shared" si="9"/>
        <v>-5.695793262130155</v>
      </c>
      <c r="F24" s="17">
        <f t="shared" si="10"/>
        <v>2.3098400057449529</v>
      </c>
      <c r="G24" s="17">
        <f t="shared" si="6"/>
        <v>0.17806688162491069</v>
      </c>
      <c r="H24" s="18" t="str">
        <f t="shared" si="11"/>
        <v>Continuar</v>
      </c>
    </row>
    <row r="25" spans="2:8" x14ac:dyDescent="0.25">
      <c r="B25" s="6">
        <v>5</v>
      </c>
      <c r="C25" s="17">
        <f t="shared" si="7"/>
        <v>2.3098400057449529</v>
      </c>
      <c r="D25" s="8">
        <f t="shared" si="8"/>
        <v>9.0130779966167474E-2</v>
      </c>
      <c r="E25" s="8">
        <f t="shared" si="9"/>
        <v>-4.7277793116470699</v>
      </c>
      <c r="F25" s="17">
        <f t="shared" si="10"/>
        <v>2.3289040893294226</v>
      </c>
      <c r="G25" s="17">
        <f t="shared" si="6"/>
        <v>1.906408358446976E-2</v>
      </c>
      <c r="H25" s="18" t="str">
        <f t="shared" si="11"/>
        <v>Continuar</v>
      </c>
    </row>
    <row r="26" spans="2:8" x14ac:dyDescent="0.25">
      <c r="B26" s="6">
        <v>6</v>
      </c>
      <c r="C26" s="17">
        <f t="shared" si="7"/>
        <v>2.3289040893294226</v>
      </c>
      <c r="D26" s="8">
        <f t="shared" si="8"/>
        <v>8.5128724272998113E-4</v>
      </c>
      <c r="E26" s="8">
        <f t="shared" si="9"/>
        <v>-4.6388937177983625</v>
      </c>
      <c r="F26" s="17">
        <f t="shared" si="10"/>
        <v>2.3290876001607796</v>
      </c>
      <c r="G26" s="17">
        <f t="shared" si="6"/>
        <v>1.8351083135703661E-4</v>
      </c>
      <c r="H26" s="18" t="str">
        <f t="shared" si="11"/>
        <v>Continuar</v>
      </c>
    </row>
    <row r="27" spans="2:8" ht="15.75" thickBot="1" x14ac:dyDescent="0.3">
      <c r="B27" s="19">
        <v>7</v>
      </c>
      <c r="C27" s="20">
        <f t="shared" si="7"/>
        <v>2.3290876001607796</v>
      </c>
      <c r="D27" s="21">
        <f t="shared" si="8"/>
        <v>7.7387357855229766E-8</v>
      </c>
      <c r="E27" s="21">
        <f t="shared" si="9"/>
        <v>-4.6380503470943797</v>
      </c>
      <c r="F27" s="20">
        <f t="shared" si="10"/>
        <v>2.3290876168461003</v>
      </c>
      <c r="G27" s="20">
        <f t="shared" si="6"/>
        <v>1.6685320680664972E-8</v>
      </c>
      <c r="H27" s="22" t="str">
        <f t="shared" si="11"/>
        <v>Parar el método</v>
      </c>
    </row>
    <row r="28" spans="2:8" ht="15.75" thickBot="1" x14ac:dyDescent="0.3">
      <c r="B28" s="26" t="s">
        <v>4</v>
      </c>
      <c r="C28" s="35">
        <f>F24</f>
        <v>2.3098400057449529</v>
      </c>
      <c r="D28" s="49" t="s">
        <v>29</v>
      </c>
      <c r="E28" s="50"/>
      <c r="F28" s="50"/>
      <c r="G28" s="50"/>
      <c r="H28" s="51"/>
    </row>
    <row r="29" spans="2:8" ht="15.75" thickBot="1" x14ac:dyDescent="0.3"/>
    <row r="30" spans="2:8" ht="15.75" thickBot="1" x14ac:dyDescent="0.3">
      <c r="B30" s="65" t="s">
        <v>28</v>
      </c>
      <c r="C30" s="66"/>
      <c r="D30" s="66"/>
      <c r="E30" s="66"/>
      <c r="F30" s="66"/>
      <c r="G30" s="66"/>
      <c r="H30" s="67"/>
    </row>
  </sheetData>
  <mergeCells count="16">
    <mergeCell ref="B30:H30"/>
    <mergeCell ref="B2:C2"/>
    <mergeCell ref="D2:H2"/>
    <mergeCell ref="B3:C3"/>
    <mergeCell ref="B4:C4"/>
    <mergeCell ref="D28:H28"/>
    <mergeCell ref="C12:D12"/>
    <mergeCell ref="E12:H12"/>
    <mergeCell ref="B15:C15"/>
    <mergeCell ref="B17:C17"/>
    <mergeCell ref="F16:H17"/>
    <mergeCell ref="B18:C18"/>
    <mergeCell ref="D15:H15"/>
    <mergeCell ref="B5:C5"/>
    <mergeCell ref="F3:H3"/>
    <mergeCell ref="B16:C16"/>
  </mergeCells>
  <conditionalFormatting sqref="D2:D4 D6:D12">
    <cfRule type="cellIs" dxfId="4" priority="5" stopIfTrue="1" operator="equal">
      <formula>"Mayor que cero"</formula>
    </cfRule>
    <cfRule type="cellIs" dxfId="3" priority="6" stopIfTrue="1" operator="equal">
      <formula>"Menor que cero"</formula>
    </cfRule>
  </conditionalFormatting>
  <conditionalFormatting sqref="H19:H27">
    <cfRule type="cellIs" dxfId="2" priority="3" stopIfTrue="1" operator="equal">
      <formula>"Parar el método"</formula>
    </cfRule>
  </conditionalFormatting>
  <conditionalFormatting sqref="D15">
    <cfRule type="cellIs" dxfId="1" priority="1" stopIfTrue="1" operator="equal">
      <formula>"Mayor que cero"</formula>
    </cfRule>
    <cfRule type="cellIs" dxfId="0" priority="2" stopIfTrue="1" operator="equal">
      <formula>"Menor que cero"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Ejemplos Newton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Devices</dc:creator>
  <cp:lastModifiedBy>All Devices</cp:lastModifiedBy>
  <dcterms:created xsi:type="dcterms:W3CDTF">2020-05-15T18:06:59Z</dcterms:created>
  <dcterms:modified xsi:type="dcterms:W3CDTF">2021-05-14T17:38:14Z</dcterms:modified>
</cp:coreProperties>
</file>